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corporacionbi-my.sharepoint.com/personal/68406_bi_com_gt/Documents/Documentos/"/>
    </mc:Choice>
  </mc:AlternateContent>
  <xr:revisionPtr revIDLastSave="1003" documentId="8_{625FA7B0-FB9F-4AB2-B2BF-3E8171E4D04C}" xr6:coauthVersionLast="47" xr6:coauthVersionMax="47" xr10:uidLastSave="{92D83BA6-A4D9-4D2A-9C76-DEB6C9857491}"/>
  <bookViews>
    <workbookView xWindow="-120" yWindow="-120" windowWidth="20730" windowHeight="11040" xr2:uid="{69197006-9618-4977-80A7-5A80D5419041}"/>
  </bookViews>
  <sheets>
    <sheet name="Hoja1" sheetId="1" r:id="rId1"/>
  </sheets>
  <definedNames>
    <definedName name="_xlnm._FilterDatabase" localSheetId="0" hidden="1">Hoja1!$B$1:$N$31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" l="1"/>
  <c r="I12" i="1" s="1"/>
  <c r="J12" i="1" s="1"/>
  <c r="H31" i="1"/>
  <c r="H30" i="1"/>
  <c r="I30" i="1" s="1"/>
  <c r="J30" i="1" s="1"/>
  <c r="H29" i="1"/>
  <c r="I29" i="1" s="1"/>
  <c r="J29" i="1" s="1"/>
  <c r="H28" i="1"/>
  <c r="I28" i="1" s="1"/>
  <c r="J28" i="1" s="1"/>
  <c r="H27" i="1"/>
  <c r="I27" i="1" s="1"/>
  <c r="J27" i="1" s="1"/>
  <c r="H26" i="1"/>
  <c r="I26" i="1" s="1"/>
  <c r="J26" i="1" s="1"/>
  <c r="K26" i="1" s="1"/>
  <c r="L26" i="1" s="1"/>
  <c r="H25" i="1"/>
  <c r="I25" i="1" s="1"/>
  <c r="H24" i="1"/>
  <c r="I24" i="1" s="1"/>
  <c r="J24" i="1" s="1"/>
  <c r="H23" i="1"/>
  <c r="I23" i="1" s="1"/>
  <c r="J23" i="1" s="1"/>
  <c r="H22" i="1"/>
  <c r="I22" i="1" s="1"/>
  <c r="J22" i="1" s="1"/>
  <c r="H21" i="1"/>
  <c r="I21" i="1" s="1"/>
  <c r="J21" i="1" s="1"/>
  <c r="K21" i="1" s="1"/>
  <c r="L21" i="1" s="1"/>
  <c r="H20" i="1"/>
  <c r="I20" i="1" s="1"/>
  <c r="J20" i="1" s="1"/>
  <c r="H19" i="1"/>
  <c r="I19" i="1" s="1"/>
  <c r="J19" i="1" s="1"/>
  <c r="H18" i="1"/>
  <c r="I18" i="1" s="1"/>
  <c r="J18" i="1" s="1"/>
  <c r="H2" i="1"/>
  <c r="I2" i="1" s="1"/>
  <c r="J2" i="1" s="1"/>
  <c r="H17" i="1"/>
  <c r="I17" i="1" s="1"/>
  <c r="J17" i="1" s="1"/>
  <c r="H16" i="1"/>
  <c r="I16" i="1" s="1"/>
  <c r="J16" i="1" s="1"/>
  <c r="H15" i="1"/>
  <c r="I15" i="1" s="1"/>
  <c r="J15" i="1" s="1"/>
  <c r="H14" i="1"/>
  <c r="I14" i="1" s="1"/>
  <c r="J14" i="1" s="1"/>
  <c r="H13" i="1"/>
  <c r="I13" i="1" s="1"/>
  <c r="J13" i="1" s="1"/>
  <c r="H11" i="1"/>
  <c r="I11" i="1" s="1"/>
  <c r="H10" i="1"/>
  <c r="I10" i="1" s="1"/>
  <c r="J10" i="1" s="1"/>
  <c r="H9" i="1"/>
  <c r="I9" i="1" s="1"/>
  <c r="J9" i="1" s="1"/>
  <c r="K9" i="1" s="1"/>
  <c r="H8" i="1"/>
  <c r="I8" i="1" s="1"/>
  <c r="J8" i="1" s="1"/>
  <c r="K8" i="1" s="1"/>
  <c r="L8" i="1" s="1"/>
  <c r="H7" i="1"/>
  <c r="I7" i="1" s="1"/>
  <c r="J7" i="1" s="1"/>
  <c r="K7" i="1" s="1"/>
  <c r="L7" i="1" s="1"/>
  <c r="H6" i="1"/>
  <c r="I6" i="1" s="1"/>
  <c r="J6" i="1" s="1"/>
  <c r="H5" i="1"/>
  <c r="I5" i="1" s="1"/>
  <c r="J5" i="1" s="1"/>
  <c r="K5" i="1" s="1"/>
  <c r="L5" i="1" s="1"/>
  <c r="H4" i="1"/>
  <c r="I4" i="1" s="1"/>
  <c r="J4" i="1" s="1"/>
  <c r="K4" i="1" s="1"/>
  <c r="L4" i="1" s="1"/>
  <c r="H3" i="1"/>
  <c r="I3" i="1" s="1"/>
  <c r="J3" i="1" s="1"/>
  <c r="J11" i="1" l="1"/>
  <c r="K11" i="1" s="1"/>
  <c r="L11" i="1" s="1"/>
  <c r="J25" i="1"/>
  <c r="K25" i="1" s="1"/>
  <c r="L25" i="1" s="1"/>
  <c r="K27" i="1"/>
  <c r="L27" i="1" s="1"/>
  <c r="K23" i="1"/>
  <c r="L23" i="1" s="1"/>
  <c r="K22" i="1"/>
  <c r="L22" i="1" s="1"/>
  <c r="K15" i="1"/>
  <c r="L15" i="1" s="1"/>
  <c r="K10" i="1"/>
  <c r="L10" i="1" s="1"/>
  <c r="L9" i="1"/>
  <c r="K6" i="1"/>
  <c r="L6" i="1" s="1"/>
  <c r="K28" i="1"/>
  <c r="L28" i="1" s="1"/>
  <c r="K14" i="1"/>
  <c r="L14" i="1" s="1"/>
  <c r="K30" i="1"/>
  <c r="L30" i="1" s="1"/>
  <c r="K12" i="1"/>
  <c r="L12" i="1" s="1"/>
  <c r="K29" i="1"/>
  <c r="L29" i="1" s="1"/>
  <c r="K13" i="1"/>
  <c r="L13" i="1" s="1"/>
  <c r="K16" i="1"/>
  <c r="L16" i="1" s="1"/>
  <c r="K17" i="1"/>
  <c r="L17" i="1" s="1"/>
  <c r="K18" i="1"/>
  <c r="L18" i="1" s="1"/>
  <c r="K20" i="1"/>
  <c r="L20" i="1" s="1"/>
  <c r="K19" i="1"/>
  <c r="L19" i="1" s="1"/>
  <c r="K24" i="1"/>
  <c r="L24" i="1" s="1"/>
  <c r="K3" i="1"/>
  <c r="L3" i="1" s="1"/>
  <c r="K2" i="1"/>
  <c r="L2" i="1" s="1"/>
  <c r="I31" i="1"/>
  <c r="J31" i="1" l="1"/>
  <c r="K31" i="1" s="1"/>
  <c r="L3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</futureMetadata>
  <valueMetadata count="3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</valueMetadata>
</metadata>
</file>

<file path=xl/sharedStrings.xml><?xml version="1.0" encoding="utf-8"?>
<sst xmlns="http://schemas.openxmlformats.org/spreadsheetml/2006/main" count="187" uniqueCount="137">
  <si>
    <t>IMAGEN</t>
  </si>
  <si>
    <t>PRODCUTO</t>
  </si>
  <si>
    <t>PRODUCTO</t>
  </si>
  <si>
    <t>MARCA</t>
  </si>
  <si>
    <t>TONO</t>
  </si>
  <si>
    <t>PRECIO UNITARIO</t>
  </si>
  <si>
    <t>CANTIDAD</t>
  </si>
  <si>
    <t>PRECIO POR PRODUCTO CON DESCUENTO</t>
  </si>
  <si>
    <t>PRECIO POR PRODUCTO CON TAX EN QUETZALES</t>
  </si>
  <si>
    <t>PRECIO + ENVIO INDIVIDUAL</t>
  </si>
  <si>
    <t>PRECIO VENTA</t>
  </si>
  <si>
    <t>TOTAL</t>
  </si>
  <si>
    <t xml:space="preserve">DESCRIPCION </t>
  </si>
  <si>
    <t>BENFICIO</t>
  </si>
  <si>
    <t>MINI BRONZER, CONTOUR</t>
  </si>
  <si>
    <t>CONTORNO</t>
  </si>
  <si>
    <t>BY MARIO</t>
  </si>
  <si>
    <t>DARK</t>
  </si>
  <si>
    <t>Contorno compacto que define y esculpe el rostro con acabado natural.</t>
  </si>
  <si>
    <t>✨ Fácil de difuminar · 🌑 Acabado mate · 💪 Ideal para pieles medias a oscuras</t>
  </si>
  <si>
    <t>SOFT PINCH TINTED LIP OIL STAIN</t>
  </si>
  <si>
    <t>LIP OIL</t>
  </si>
  <si>
    <t>RARE BEAUTY</t>
  </si>
  <si>
    <t>DELIGHT</t>
  </si>
  <si>
    <t>Aceite labial con tinte rosa suave que hidrata y aporta brillo jugoso.</t>
  </si>
  <si>
    <t>💧 Hidratación intensa · 🌸 Rosa romántico · 🐰 Vegano</t>
  </si>
  <si>
    <t>PEPTIDE LIP TINT NOURISHING GLAZE</t>
  </si>
  <si>
    <t>GLOSS</t>
  </si>
  <si>
    <t>RHODE</t>
  </si>
  <si>
    <t xml:space="preserve">SALTY TAN </t>
  </si>
  <si>
    <t>Gloss nutritivo con tono nude cálido que realza el color natural.</t>
  </si>
  <si>
    <t>🧴 Péptidos nutritivos · 🤎 Nude elegante · 👄 Efecto volumen</t>
  </si>
  <si>
    <t>SOFT MAUVE</t>
  </si>
  <si>
    <t>Gloss con tono malva suave para un look romántico y elegante.</t>
  </si>
  <si>
    <t>🌷 Hidratación profunda · ✨ Brillo sofisticado · 🐰 Vegano</t>
  </si>
  <si>
    <t>MINI SOFT PINCH LIQUID BLUSH</t>
  </si>
  <si>
    <t>RUBOR</t>
  </si>
  <si>
    <t>HOPE</t>
  </si>
  <si>
    <t>Rubor líquido rosa frío que aporta frescura y luminosidad.</t>
  </si>
  <si>
    <t>🎨 Ultra pigmentado · 🌿 Vegano · 🌞 Larga duración</t>
  </si>
  <si>
    <t>SALICYLIC ACID 2% SOLUTION, EXFOLIATING SERUM FOR ACNE</t>
  </si>
  <si>
    <t>SKIN CARE</t>
  </si>
  <si>
    <t>THE ORDINARY</t>
  </si>
  <si>
    <t>Sérum exfoliante que combate el acné y destapa poros.</t>
  </si>
  <si>
    <t>🧼 Reduce imperfecciones · ⚡ Controla grasa · ✨ Mejora textura</t>
  </si>
  <si>
    <t>CHARME</t>
  </si>
  <si>
    <t>Rubor líquido coral vibrante que ilumina el rostro.</t>
  </si>
  <si>
    <t>🌞 Pigmentación intensa · 🎨 Fácil de difuminar · 🐰 Vegano</t>
  </si>
  <si>
    <t>JOY</t>
  </si>
  <si>
    <t>Aceite labial coral brillante que aporta energía y frescura.</t>
  </si>
  <si>
    <t>💧 Hidratación · 🌟 Glossy jugoso · 🐰 Vegano</t>
  </si>
  <si>
    <t>NIACINAMIDE 10% + ZINC 1% SERUM FOR OIL SKIN</t>
  </si>
  <si>
    <t>Sérum que regula sebo y reduce imperfecciones.</t>
  </si>
  <si>
    <t>✨ Minimiza poros · ⚡ Controla brillo · 🧴 Mejora textura</t>
  </si>
  <si>
    <t>HYALURONIC ACID 2% + B5 HYDRATING SERUM WITH CERAMIDES</t>
  </si>
  <si>
    <t>Sérum hidratante con ácido hialurónico y vitamina B5.</t>
  </si>
  <si>
    <t>💦 Hidratación profunda · 🛡️ Refuerza barrera · 🌸 Piel suave</t>
  </si>
  <si>
    <t>MINO MAJOR HEADLINES DOUBLE TAKE CREME &amp; POWDER BLUSH DUO</t>
  </si>
  <si>
    <t>PATRICK TA</t>
  </si>
  <si>
    <t>SHE GOES TO THE GYM</t>
  </si>
  <si>
    <t>Dúo de rubor crema + polvo en tono rosado vibrante.</t>
  </si>
  <si>
    <t>🎨 Versatilidad · 🌟 Acabado modulable · 🕒 Larga duración</t>
  </si>
  <si>
    <t>MINI POSITIVE LIQUID LUMINIZER</t>
  </si>
  <si>
    <t>ILUMINADOR</t>
  </si>
  <si>
    <t>FLAUNT</t>
  </si>
  <si>
    <t>Iluminador líquido dorado que aporta brillo radiante.</t>
  </si>
  <si>
    <t>🌞 Luminosidad · 💧 Fórmula ligera · 🐰 Vegano</t>
  </si>
  <si>
    <t>MINI SOFT POP BLUSH STICK</t>
  </si>
  <si>
    <t>PALE PETAL</t>
  </si>
  <si>
    <t>Rubor en barra rosa suave para un look natural.</t>
  </si>
  <si>
    <t>🎨 Textura cremosa · 🌿 Fácil de aplicar · 🌞 Acabado fresco</t>
  </si>
  <si>
    <t>THE ACNE SET WITH SALICYLIC ACID</t>
  </si>
  <si>
    <t>Kit con ácido salicílico para combatir imperfecciones.</t>
  </si>
  <si>
    <t>🧼 Reduce brotes · ⚡ Controla grasa · ✨ Mejora textura</t>
  </si>
  <si>
    <t>MINI GLYOLIC ACID EXFOLIATING AND BRIGHTENING DAILY TONER</t>
  </si>
  <si>
    <t>Tónico exfoliante que ilumina y mejora la piel.</t>
  </si>
  <si>
    <t>🌟 Suaviza textura · 🌞 Reduce manchas · 💧 Piel radiante</t>
  </si>
  <si>
    <t>SOFT PINCH LIQUID BLUSH</t>
  </si>
  <si>
    <t>BLUSH</t>
  </si>
  <si>
    <t>ENCOURAGE</t>
  </si>
  <si>
    <t>Rubor líquido rosa cálido que aporta vitalidad.</t>
  </si>
  <si>
    <t>🎨 Pigmentación intensa · 🌿 Vegano · 🌞 Natural</t>
  </si>
  <si>
    <t>MINI PILLOW TALK GLOSSY LIP DUOS</t>
  </si>
  <si>
    <t>LIP GLOSS</t>
  </si>
  <si>
    <t>CHARLOTTE TILBURY</t>
  </si>
  <si>
    <t>MEDIUM</t>
  </si>
  <si>
    <t>Dúo de gloss en tono nude rosado medio.</t>
  </si>
  <si>
    <t>💧 Hidratación · 🌟 Brillo elegante · 👑 Sensación lujosa</t>
  </si>
  <si>
    <t>ORIGINAL</t>
  </si>
  <si>
    <t>Gloss icónico en tono nude rosado clásico.</t>
  </si>
  <si>
    <t>🌸 Hidratación · ✨ Brillo sofisticado · 👑 Fórmula cómoda</t>
  </si>
  <si>
    <t>Camo Liquid Blush</t>
  </si>
  <si>
    <t>ELF</t>
  </si>
  <si>
    <t>FACED LILAC</t>
  </si>
  <si>
    <t>Rubor líquido en tono lila suave para un look moderno.</t>
  </si>
  <si>
    <t>🎨 Pigmentación intensa · 🌟 Acabado jugoso · 🐰 Vegano</t>
  </si>
  <si>
    <t>CHEEKY LYCHEE</t>
  </si>
  <si>
    <t>Rubor líquido rosa natural que aporta frescura.</t>
  </si>
  <si>
    <t>🌞 Ligero · 🎨 Modulable · 🌟 Radiante</t>
  </si>
  <si>
    <t>Glow Reviver Lip Oil</t>
  </si>
  <si>
    <t>HOT AS FUDGE</t>
  </si>
  <si>
    <t>Aceite labial marrón cálido con brillo espejo.</t>
  </si>
  <si>
    <t>💧 Hidratación · 🤎 Tono cálido · 👄 Efecto volumen</t>
  </si>
  <si>
    <t>JAM SESSION</t>
  </si>
  <si>
    <t>Aceite labial cereza oscura con acabado glossy.</t>
  </si>
  <si>
    <t>🌸 Nutrición intensa · 🍒 Look atrevido · 🐰 Vegano</t>
  </si>
  <si>
    <t>alo Glow Contour Beauty Wand</t>
  </si>
  <si>
    <t>LIGHT/MEDIUM</t>
  </si>
  <si>
    <t>Contorno líquido luminoso para piel clara-media.</t>
  </si>
  <si>
    <t>🎨 Fácil de difuminar · 💧 Hidratante con escualano</t>
  </si>
  <si>
    <t>MEDIUM/TAN</t>
  </si>
  <si>
    <t>Contorno líquido para piel media a bronceada.</t>
  </si>
  <si>
    <t>🌟 Esculpe y define · 🌿 Acabado natural</t>
  </si>
  <si>
    <t>Hydrating Core Lip Shine</t>
  </si>
  <si>
    <t>ECSTATIC</t>
  </si>
  <si>
    <t>Bálsamo con núcleo hidratante y tono berry intenso.</t>
  </si>
  <si>
    <t>💧 Hidratación con vitamina E · 🌸 Color translúcido</t>
  </si>
  <si>
    <t>SKIN1004 Madagascar Centella Ampoule Face Moisturizer</t>
  </si>
  <si>
    <t>CENTELLA</t>
  </si>
  <si>
    <t>Hidratante con extracto de centella asiática.</t>
  </si>
  <si>
    <t>🌱 Calma irritación · 🛡️ Refuerza barrera</t>
  </si>
  <si>
    <t>SKIN1004 Madagascar Centella Ampoule Korean Skincare for Soothing and Healing Sensitive Skin </t>
  </si>
  <si>
    <t>Sérum calmante para piel sensible.</t>
  </si>
  <si>
    <t>🌸 Reduce rojeces · 💧 Hidrata · 🌱 Repara</t>
  </si>
  <si>
    <t>Bite-Size Eyeshadow </t>
  </si>
  <si>
    <t>PALETA DE SOMBRAS</t>
  </si>
  <si>
    <t>TAKE YOUR PINK</t>
  </si>
  <si>
    <t>Mini paleta rosa vibrante.</t>
  </si>
  <si>
    <t>🌟 Alta pigmentación · 👜 Compacta · 🐰 Vegana</t>
  </si>
  <si>
    <t>TOTAL SMOKESHOW</t>
  </si>
  <si>
    <t>Mini paleta tonos ahumados intensos.</t>
  </si>
  <si>
    <t>🌑 Fácil de difuminar · 🕒 Larga duración</t>
  </si>
  <si>
    <t>Lip IV Hydrating Lip Gloss</t>
  </si>
  <si>
    <t>NYX</t>
  </si>
  <si>
    <t>DRIPPIN IN ROSE</t>
  </si>
  <si>
    <t>Gloss rosa brillante con efecto sérum.</t>
  </si>
  <si>
    <t>💧 Hidratación 12h · 🌸 Fórmula vegana · 🌟 Acabado radiante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</si>
</sst>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Q&quot;* #,##0.00_-;\-&quot;Q&quot;* #,##0.00_-;_-&quot;Q&quot;* &quot;-&quot;??_-;_-@_-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333333"/>
      <name val="Arial"/>
      <family val="2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777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0" borderId="0" xfId="2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9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1" xfId="0" applyNumberFormat="1" applyBorder="1"/>
    <xf numFmtId="164" fontId="1" fillId="2" borderId="1" xfId="0" applyNumberFormat="1" applyFont="1" applyFill="1" applyBorder="1"/>
    <xf numFmtId="0" fontId="0" fillId="0" borderId="1" xfId="0" applyBorder="1" applyAlignment="1">
      <alignment wrapText="1"/>
    </xf>
    <xf numFmtId="0" fontId="10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164" fontId="0" fillId="0" borderId="1" xfId="1" applyFont="1" applyBorder="1" applyAlignment="1">
      <alignment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D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0">
  <rv s="0">
    <v>0</v>
    <v>5</v>
    <v>MAKEUP BY MARIO Mini SoftSculpt® Shaping Stick (Mini) Dark 0.14 oz/4 g MAKEUP BY MARIO Mini SoftSculpt® Shaping Stick in (Mini) Dark</v>
  </rv>
  <rv s="0">
    <v>1</v>
    <v>5</v>
    <v>Rare Beauty by Selena Gomez Soft Pinch Tinted Lip Oil Stain Delight 0.10 oz / 3.0 ml Rare Beauty by Selena Gomez Soft Pinch Tinted Lip Oil Stain in Delight</v>
  </rv>
  <rv s="0">
    <v>2</v>
    <v>5</v>
    <v>rhode Peptide Lip Tint Nourishing Glaze Salty Tan - soft mauve 0.3oz/10ml rhode Peptide Lip Tint Nourishing Glaze in Salty Tan - soft mauve Clean at Sephora</v>
  </rv>
  <rv s="0">
    <v>3</v>
    <v>5</v>
    <v>rhode Peptide Lip Tint Nourishing Glaze Salty Tan - soft mauve 0.3oz/10ml rhode Peptide Lip Tint Nourishing Glaze in Salty Tan - soft mauve Clean at Sephora</v>
  </rv>
  <rv s="0">
    <v>4</v>
    <v>5</v>
    <v>Rare Beauty by Selena Gomez Mini Soft Pinch Liquid Blush Hope 0.11 oz / 3.2 mL Rare Beauty by Selena Gomez Mini Soft Pinch Liquid Blush in Hope allure 2022 Best of Beauty Award Winner</v>
  </rv>
  <rv s="1">
    <v>5</v>
    <v>5</v>
  </rv>
  <rv s="0">
    <v>6</v>
    <v>5</v>
    <v>Rare Beauty by Selena Gomez Mini Soft Pinch Liquid Blush Charm 0.11 oz/3.2 mL Rare Beauty by Selena Gomez Mini Soft Pinch Liquid Blush in Charm allure 2022 Best of Beauty Award Winner</v>
  </rv>
  <rv s="0">
    <v>7</v>
    <v>5</v>
    <v>Rare Beauty by Selena Gomez Soft Pinch Tinted Lip Oil Stain Joy 0.10 oz / 3.0 ml Rare Beauty by Selena Gomez Soft Pinch Tinted Lip Oil Stain in Joy</v>
  </rv>
  <rv s="0">
    <v>8</v>
    <v>5</v>
    <v>The Ordinary Niacinamide 10% + Zinc 1% Serum for Oily Skin 1 oz/ 30 mL The Ordinary Niacinamide 10% + Zinc 1% Serum for Oily Skin in 1 oz/ 30 mL</v>
  </rv>
  <rv s="1">
    <v>9</v>
    <v>5</v>
  </rv>
  <rv s="0">
    <v>10</v>
    <v>5</v>
    <v>PATRICK TA Mini Major Headlines Double-Take Crème &amp; Powder Blush Duo She Goes To The Gym Creme .05 OZ Powder .09 OZ/Creme 1.6 G Powder 2.8 G PATRICK TA Mini Major Headlines Double-Take Crème &amp; Powder Blush Duo in She Goes To The Gym</v>
  </rv>
  <rv s="0">
    <v>11</v>
    <v>5</v>
    <v>Rare Beauty by Selena Gomez Mini Positive Light Liquid Luminizer Flaunt 0.09 oz / 2.5 mL Rare Beauty by Selena Gomez Mini Positive Light Liquid Luminizer in Flaunt</v>
  </rv>
  <rv s="0">
    <v>12</v>
    <v>5</v>
    <v>MAKEUP BY MARIO Mini Soft Pop Blush Stick (Mini) Pale Petal 0.14 oz/4 g MAKEUP BY MARIO Mini Soft Pop Blush Stick in (Mini) Pale Petal</v>
  </rv>
  <rv s="1">
    <v>13</v>
    <v>5</v>
  </rv>
  <rv s="1">
    <v>14</v>
    <v>5</v>
  </rv>
  <rv s="0">
    <v>15</v>
    <v>5</v>
    <v>Rare Beauty by Selena Gomez Soft Pinch Liquid Blush Encourage 0.25 oz/ 7.5 mL Rare Beauty by Selena Gomez Soft Pinch Liquid Blush in Encourage allure 2022 Best of Beauty Award Winner</v>
  </rv>
  <rv s="0">
    <v>16</v>
    <v>5</v>
    <v>Charlotte Tilbury Mini Pillow Talk Glossy Lip Duos Medium Collagen Lip Bath: 0.08 oz / Lip Cheat: 0.02 oz/Collagen Lip Bath: 2.6 mL / Lip Cheat: 0.8 g Charlotte Tilbury Mini Pillow Talk Glossy Lip Duos in Medium</v>
  </rv>
  <rv s="0">
    <v>17</v>
    <v>5</v>
    <v>Charlotte Tilbury Mini Pillow Talk Glossy Lip Duos Original Collagen Lip Bath: 0.08 oz / Lip Cheat: 0.02 oz/Collagen Lip Bath: 2.6 mL / Lip Cheat: 0.8 g Charlotte Tilbury Mini Pillow Talk Glossy Lip Duos in Original</v>
  </rv>
  <rv s="1">
    <v>18</v>
    <v>5</v>
  </rv>
  <rv s="1">
    <v>19</v>
    <v>5</v>
  </rv>
  <rv s="1">
    <v>20</v>
    <v>5</v>
  </rv>
  <rv s="1">
    <v>21</v>
    <v>5</v>
  </rv>
  <rv s="1">
    <v>22</v>
    <v>5</v>
  </rv>
  <rv s="1">
    <v>23</v>
    <v>5</v>
  </rv>
  <rv s="1">
    <v>24</v>
    <v>5</v>
  </rv>
  <rv s="1">
    <v>25</v>
    <v>5</v>
  </rv>
  <rv s="1">
    <v>26</v>
    <v>5</v>
  </rv>
  <rv s="1">
    <v>27</v>
    <v>5</v>
  </rv>
  <rv s="1">
    <v>28</v>
    <v>5</v>
  </rv>
  <rv s="1">
    <v>29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3543-938B-4090-B3C6-7B550DE2C8F1}">
  <dimension ref="A1:N42"/>
  <sheetViews>
    <sheetView tabSelected="1" topLeftCell="A2" zoomScale="70" zoomScaleNormal="70" workbookViewId="0">
      <selection activeCell="A4" sqref="A4"/>
    </sheetView>
  </sheetViews>
  <sheetFormatPr defaultColWidth="11.42578125" defaultRowHeight="15"/>
  <cols>
    <col min="1" max="1" width="17.140625" customWidth="1"/>
    <col min="2" max="5" width="14.42578125" customWidth="1"/>
    <col min="6" max="7" width="14.42578125" hidden="1" customWidth="1"/>
    <col min="8" max="8" width="17.5703125" hidden="1" customWidth="1"/>
    <col min="9" max="9" width="14.42578125" style="6" hidden="1" customWidth="1"/>
    <col min="10" max="10" width="15" hidden="1" customWidth="1"/>
    <col min="11" max="11" width="18.5703125" customWidth="1"/>
    <col min="12" max="12" width="11.42578125" customWidth="1"/>
    <col min="13" max="14" width="53.42578125" style="9" customWidth="1"/>
  </cols>
  <sheetData>
    <row r="1" spans="1:14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8" t="s">
        <v>12</v>
      </c>
      <c r="N1" s="8" t="s">
        <v>13</v>
      </c>
    </row>
    <row r="2" spans="1:14" ht="89.25" customHeight="1">
      <c r="A2" t="e" vm="1">
        <v>#VALUE!</v>
      </c>
      <c r="B2" s="12" t="s">
        <v>14</v>
      </c>
      <c r="C2" s="12" t="s">
        <v>15</v>
      </c>
      <c r="D2" s="12" t="s">
        <v>16</v>
      </c>
      <c r="E2" s="12" t="s">
        <v>17</v>
      </c>
      <c r="F2" s="12">
        <v>16</v>
      </c>
      <c r="G2" s="12">
        <v>1</v>
      </c>
      <c r="H2" s="12">
        <f>(F2-(F2*10%))</f>
        <v>14.4</v>
      </c>
      <c r="I2" s="17">
        <f>(H2+(H2*8.25%))*7.82</f>
        <v>121.89816000000002</v>
      </c>
      <c r="J2" s="17">
        <f>I2+23.22</f>
        <v>145.11816000000002</v>
      </c>
      <c r="K2" s="11">
        <f>(J2+(J2*50%))</f>
        <v>217.67724000000004</v>
      </c>
      <c r="L2" s="10">
        <f>K2*G2</f>
        <v>217.67724000000004</v>
      </c>
      <c r="M2" s="16" t="s">
        <v>18</v>
      </c>
      <c r="N2" s="16" t="s">
        <v>19</v>
      </c>
    </row>
    <row r="3" spans="1:14" ht="89.25" customHeight="1">
      <c r="A3" t="e" vm="2">
        <v>#VALUE!</v>
      </c>
      <c r="B3" s="12" t="s">
        <v>20</v>
      </c>
      <c r="C3" s="12" t="s">
        <v>21</v>
      </c>
      <c r="D3" s="12" t="s">
        <v>22</v>
      </c>
      <c r="E3" s="12" t="s">
        <v>23</v>
      </c>
      <c r="F3" s="12">
        <v>24</v>
      </c>
      <c r="G3" s="12">
        <v>1</v>
      </c>
      <c r="H3" s="12">
        <f>(F3-(F3*10%))</f>
        <v>21.6</v>
      </c>
      <c r="I3" s="17">
        <f>(H3+(H3*8.25%))*7.82</f>
        <v>182.84724000000003</v>
      </c>
      <c r="J3" s="17">
        <f>I3+23.22</f>
        <v>206.06724000000003</v>
      </c>
      <c r="K3" s="11">
        <f>(J3+(J3*50%))</f>
        <v>309.10086000000001</v>
      </c>
      <c r="L3" s="10">
        <f>K3*G3</f>
        <v>309.10086000000001</v>
      </c>
      <c r="M3" s="16" t="s">
        <v>24</v>
      </c>
      <c r="N3" s="16" t="s">
        <v>25</v>
      </c>
    </row>
    <row r="4" spans="1:14" ht="89.25" customHeight="1">
      <c r="A4" t="e" vm="3">
        <v>#VALUE!</v>
      </c>
      <c r="B4" s="12" t="s">
        <v>26</v>
      </c>
      <c r="C4" s="12" t="s">
        <v>27</v>
      </c>
      <c r="D4" s="12" t="s">
        <v>28</v>
      </c>
      <c r="E4" s="12" t="s">
        <v>29</v>
      </c>
      <c r="F4" s="12">
        <v>20</v>
      </c>
      <c r="G4" s="12">
        <v>1</v>
      </c>
      <c r="H4" s="12">
        <f>(F4-(F4*10%))</f>
        <v>18</v>
      </c>
      <c r="I4" s="17">
        <f>(H4+(H4*8.25%))*7.82</f>
        <v>152.37270000000001</v>
      </c>
      <c r="J4" s="17">
        <f>I4+23.22</f>
        <v>175.59270000000001</v>
      </c>
      <c r="K4" s="11">
        <f>(J4+(J4*50%))</f>
        <v>263.38905</v>
      </c>
      <c r="L4" s="10">
        <f>K4*G4</f>
        <v>263.38905</v>
      </c>
      <c r="M4" s="16" t="s">
        <v>30</v>
      </c>
      <c r="N4" s="16" t="s">
        <v>31</v>
      </c>
    </row>
    <row r="5" spans="1:14" ht="89.25" customHeight="1">
      <c r="A5" t="e" vm="4">
        <v>#VALUE!</v>
      </c>
      <c r="B5" s="12" t="s">
        <v>26</v>
      </c>
      <c r="C5" s="12" t="s">
        <v>27</v>
      </c>
      <c r="D5" s="12" t="s">
        <v>28</v>
      </c>
      <c r="E5" s="12" t="s">
        <v>32</v>
      </c>
      <c r="F5" s="12">
        <v>20</v>
      </c>
      <c r="G5" s="12">
        <v>1</v>
      </c>
      <c r="H5" s="12">
        <f>(F5-(F5*10%))</f>
        <v>18</v>
      </c>
      <c r="I5" s="17">
        <f>(H5+(H5*8.25%))*7.82</f>
        <v>152.37270000000001</v>
      </c>
      <c r="J5" s="17">
        <f>I5+23.22</f>
        <v>175.59270000000001</v>
      </c>
      <c r="K5" s="11">
        <f>(J5+(J5*50%))</f>
        <v>263.38905</v>
      </c>
      <c r="L5" s="10">
        <f>K5*G5</f>
        <v>263.38905</v>
      </c>
      <c r="M5" s="16" t="s">
        <v>33</v>
      </c>
      <c r="N5" s="16" t="s">
        <v>34</v>
      </c>
    </row>
    <row r="6" spans="1:14" ht="89.25" customHeight="1">
      <c r="A6" t="e" vm="5">
        <v>#VALUE!</v>
      </c>
      <c r="B6" s="12" t="s">
        <v>35</v>
      </c>
      <c r="C6" s="12" t="s">
        <v>36</v>
      </c>
      <c r="D6" s="12" t="s">
        <v>22</v>
      </c>
      <c r="E6" s="12" t="s">
        <v>37</v>
      </c>
      <c r="F6" s="12">
        <v>16</v>
      </c>
      <c r="G6" s="12">
        <v>1</v>
      </c>
      <c r="H6" s="12">
        <f>(F6-(F6*10%))</f>
        <v>14.4</v>
      </c>
      <c r="I6" s="17">
        <f>(H6+(H6*8.25%))*7.82</f>
        <v>121.89816000000002</v>
      </c>
      <c r="J6" s="17">
        <f>I6+23.22</f>
        <v>145.11816000000002</v>
      </c>
      <c r="K6" s="11">
        <f>(J6+(J6*50%))</f>
        <v>217.67724000000004</v>
      </c>
      <c r="L6" s="10">
        <f>K6*G6</f>
        <v>217.67724000000004</v>
      </c>
      <c r="M6" s="16" t="s">
        <v>38</v>
      </c>
      <c r="N6" s="16" t="s">
        <v>39</v>
      </c>
    </row>
    <row r="7" spans="1:14" ht="89.25" customHeight="1">
      <c r="A7" t="e" vm="6">
        <v>#VALUE!</v>
      </c>
      <c r="B7" s="12" t="s">
        <v>40</v>
      </c>
      <c r="C7" s="12" t="s">
        <v>41</v>
      </c>
      <c r="D7" s="12" t="s">
        <v>42</v>
      </c>
      <c r="E7" s="12"/>
      <c r="F7" s="12">
        <v>6</v>
      </c>
      <c r="G7" s="12">
        <v>1</v>
      </c>
      <c r="H7" s="12">
        <f>(F7-(F7*10%))</f>
        <v>5.4</v>
      </c>
      <c r="I7" s="17">
        <f>(H7+(H7*8.25%))*7.82</f>
        <v>45.711810000000007</v>
      </c>
      <c r="J7" s="17">
        <f>I7+23.22</f>
        <v>68.931810000000013</v>
      </c>
      <c r="K7" s="11">
        <f>(J7+(J7*50%))</f>
        <v>103.39771500000002</v>
      </c>
      <c r="L7" s="10">
        <f>K7*G7</f>
        <v>103.39771500000002</v>
      </c>
      <c r="M7" s="16" t="s">
        <v>43</v>
      </c>
      <c r="N7" s="16" t="s">
        <v>44</v>
      </c>
    </row>
    <row r="8" spans="1:14" ht="89.25" customHeight="1">
      <c r="A8" t="e" vm="7">
        <v>#VALUE!</v>
      </c>
      <c r="B8" s="12" t="s">
        <v>35</v>
      </c>
      <c r="C8" s="12" t="s">
        <v>36</v>
      </c>
      <c r="D8" s="12" t="s">
        <v>22</v>
      </c>
      <c r="E8" s="12" t="s">
        <v>45</v>
      </c>
      <c r="F8" s="12">
        <v>16</v>
      </c>
      <c r="G8" s="12">
        <v>1</v>
      </c>
      <c r="H8" s="12">
        <f>(F8-(F8*10%))</f>
        <v>14.4</v>
      </c>
      <c r="I8" s="17">
        <f>(H8+(H8*8.25%))*7.82</f>
        <v>121.89816000000002</v>
      </c>
      <c r="J8" s="17">
        <f>I8+23.22</f>
        <v>145.11816000000002</v>
      </c>
      <c r="K8" s="11">
        <f>(J8+(J8*50%))</f>
        <v>217.67724000000004</v>
      </c>
      <c r="L8" s="10">
        <f>K8*G8</f>
        <v>217.67724000000004</v>
      </c>
      <c r="M8" s="16" t="s">
        <v>46</v>
      </c>
      <c r="N8" s="16" t="s">
        <v>47</v>
      </c>
    </row>
    <row r="9" spans="1:14" ht="89.25" customHeight="1">
      <c r="A9" t="e" vm="8">
        <v>#VALUE!</v>
      </c>
      <c r="B9" s="12" t="s">
        <v>20</v>
      </c>
      <c r="C9" s="12" t="s">
        <v>21</v>
      </c>
      <c r="D9" s="12" t="s">
        <v>22</v>
      </c>
      <c r="E9" s="12" t="s">
        <v>48</v>
      </c>
      <c r="F9" s="12">
        <v>24</v>
      </c>
      <c r="G9" s="12">
        <v>1</v>
      </c>
      <c r="H9" s="12">
        <f>(F9-(F9*10%))</f>
        <v>21.6</v>
      </c>
      <c r="I9" s="17">
        <f>(H9+(H9*8.25%))*7.82</f>
        <v>182.84724000000003</v>
      </c>
      <c r="J9" s="17">
        <f>I9+23.22</f>
        <v>206.06724000000003</v>
      </c>
      <c r="K9" s="11">
        <f>(J9+(J9*50%))</f>
        <v>309.10086000000001</v>
      </c>
      <c r="L9" s="10">
        <f>K9*G9</f>
        <v>309.10086000000001</v>
      </c>
      <c r="M9" s="16" t="s">
        <v>49</v>
      </c>
      <c r="N9" s="16" t="s">
        <v>50</v>
      </c>
    </row>
    <row r="10" spans="1:14" ht="89.25" customHeight="1">
      <c r="A10" t="e" vm="9">
        <v>#VALUE!</v>
      </c>
      <c r="B10" s="12" t="s">
        <v>51</v>
      </c>
      <c r="C10" s="12" t="s">
        <v>41</v>
      </c>
      <c r="D10" s="12" t="s">
        <v>42</v>
      </c>
      <c r="E10" s="12"/>
      <c r="F10" s="12">
        <v>6</v>
      </c>
      <c r="G10" s="12">
        <v>2</v>
      </c>
      <c r="H10" s="12">
        <f>(F10-(F10*10%))</f>
        <v>5.4</v>
      </c>
      <c r="I10" s="17">
        <f>(H10+(H10*8.25%))*7.82</f>
        <v>45.711810000000007</v>
      </c>
      <c r="J10" s="17">
        <f>I10+23.22</f>
        <v>68.931810000000013</v>
      </c>
      <c r="K10" s="11">
        <f>(J10+(J10*50%))</f>
        <v>103.39771500000002</v>
      </c>
      <c r="L10" s="10">
        <f>K10*G10</f>
        <v>206.79543000000004</v>
      </c>
      <c r="M10" s="16" t="s">
        <v>52</v>
      </c>
      <c r="N10" s="16" t="s">
        <v>53</v>
      </c>
    </row>
    <row r="11" spans="1:14" ht="89.25" customHeight="1">
      <c r="A11" t="e" vm="10">
        <v>#VALUE!</v>
      </c>
      <c r="B11" s="12" t="s">
        <v>54</v>
      </c>
      <c r="C11" s="12" t="s">
        <v>41</v>
      </c>
      <c r="D11" s="12" t="s">
        <v>42</v>
      </c>
      <c r="E11" s="12"/>
      <c r="F11" s="12">
        <v>9.9</v>
      </c>
      <c r="G11" s="12">
        <v>1</v>
      </c>
      <c r="H11" s="12">
        <f>(F11-(F11*10%))</f>
        <v>8.91</v>
      </c>
      <c r="I11" s="17">
        <f>(H11+(H11*8.25%))*7.82</f>
        <v>75.4244865</v>
      </c>
      <c r="J11" s="17">
        <f>I11+23.22</f>
        <v>98.644486499999999</v>
      </c>
      <c r="K11" s="11">
        <f>(J11+(J11*50%))</f>
        <v>147.96672975000001</v>
      </c>
      <c r="L11" s="10">
        <f>K11*G11</f>
        <v>147.96672975000001</v>
      </c>
      <c r="M11" s="16" t="s">
        <v>55</v>
      </c>
      <c r="N11" s="16" t="s">
        <v>56</v>
      </c>
    </row>
    <row r="12" spans="1:14" ht="89.25" customHeight="1">
      <c r="A12" t="e" vm="11">
        <v>#VALUE!</v>
      </c>
      <c r="B12" s="15" t="s">
        <v>57</v>
      </c>
      <c r="C12" s="12" t="s">
        <v>36</v>
      </c>
      <c r="D12" s="12" t="s">
        <v>58</v>
      </c>
      <c r="E12" s="12" t="s">
        <v>59</v>
      </c>
      <c r="F12" s="12">
        <v>25</v>
      </c>
      <c r="G12" s="12">
        <v>2</v>
      </c>
      <c r="H12" s="12">
        <f>(F12-(F12*10%))</f>
        <v>22.5</v>
      </c>
      <c r="I12" s="17">
        <f>(H12+(H12*8.25%))*7.82</f>
        <v>190.46587500000001</v>
      </c>
      <c r="J12" s="17">
        <f>I12+23.22</f>
        <v>213.68587500000001</v>
      </c>
      <c r="K12" s="11">
        <f>(J12+(J12*50%))</f>
        <v>320.52881250000002</v>
      </c>
      <c r="L12" s="10">
        <f>K12*G12</f>
        <v>641.05762500000003</v>
      </c>
      <c r="M12" s="16" t="s">
        <v>60</v>
      </c>
      <c r="N12" s="16" t="s">
        <v>61</v>
      </c>
    </row>
    <row r="13" spans="1:14" ht="89.25" customHeight="1">
      <c r="A13" t="e" vm="12">
        <v>#VALUE!</v>
      </c>
      <c r="B13" s="12" t="s">
        <v>62</v>
      </c>
      <c r="C13" s="12" t="s">
        <v>63</v>
      </c>
      <c r="D13" s="12" t="s">
        <v>22</v>
      </c>
      <c r="E13" s="12" t="s">
        <v>64</v>
      </c>
      <c r="F13" s="12">
        <v>18</v>
      </c>
      <c r="G13" s="12">
        <v>1</v>
      </c>
      <c r="H13" s="12">
        <f>(F13-(F13*10%))</f>
        <v>16.2</v>
      </c>
      <c r="I13" s="17">
        <f>(H13+(H13*8.25%))*7.82</f>
        <v>137.13543000000001</v>
      </c>
      <c r="J13" s="17">
        <f>I13+23.22</f>
        <v>160.35543000000001</v>
      </c>
      <c r="K13" s="11">
        <f>(J13+(J13*50%))</f>
        <v>240.53314500000002</v>
      </c>
      <c r="L13" s="10">
        <f>K13*G13</f>
        <v>240.53314500000002</v>
      </c>
      <c r="M13" s="16" t="s">
        <v>65</v>
      </c>
      <c r="N13" s="16" t="s">
        <v>66</v>
      </c>
    </row>
    <row r="14" spans="1:14" ht="89.25" customHeight="1">
      <c r="A14" t="e" vm="13">
        <v>#VALUE!</v>
      </c>
      <c r="B14" s="12" t="s">
        <v>67</v>
      </c>
      <c r="C14" s="12" t="s">
        <v>36</v>
      </c>
      <c r="D14" s="12" t="s">
        <v>16</v>
      </c>
      <c r="E14" s="12" t="s">
        <v>68</v>
      </c>
      <c r="F14" s="12">
        <v>16</v>
      </c>
      <c r="G14" s="12">
        <v>1</v>
      </c>
      <c r="H14" s="12">
        <f>(F14-(F14*10%))</f>
        <v>14.4</v>
      </c>
      <c r="I14" s="17">
        <f>(H14+(H14*8.25%))*7.82</f>
        <v>121.89816000000002</v>
      </c>
      <c r="J14" s="17">
        <f>I14+23.22</f>
        <v>145.11816000000002</v>
      </c>
      <c r="K14" s="11">
        <f>(J14+(J14*50%))</f>
        <v>217.67724000000004</v>
      </c>
      <c r="L14" s="10">
        <f>K14*G14</f>
        <v>217.67724000000004</v>
      </c>
      <c r="M14" s="16" t="s">
        <v>69</v>
      </c>
      <c r="N14" s="16" t="s">
        <v>70</v>
      </c>
    </row>
    <row r="15" spans="1:14" ht="89.25" customHeight="1">
      <c r="A15" t="e" vm="14">
        <v>#VALUE!</v>
      </c>
      <c r="B15" s="12" t="s">
        <v>71</v>
      </c>
      <c r="C15" s="12" t="s">
        <v>41</v>
      </c>
      <c r="D15" s="12" t="s">
        <v>42</v>
      </c>
      <c r="E15" s="12"/>
      <c r="F15" s="12">
        <v>16.7</v>
      </c>
      <c r="G15" s="12">
        <v>1</v>
      </c>
      <c r="H15" s="12">
        <f>(F15-(F15*10%))</f>
        <v>15.03</v>
      </c>
      <c r="I15" s="17">
        <f>(H15+(H15*8.25%))*7.82</f>
        <v>127.23120449999999</v>
      </c>
      <c r="J15" s="17">
        <f>I15+23.22</f>
        <v>150.45120449999999</v>
      </c>
      <c r="K15" s="11">
        <f>(J15+(J15*50%))</f>
        <v>225.67680674999997</v>
      </c>
      <c r="L15" s="10">
        <f>K15*G15</f>
        <v>225.67680674999997</v>
      </c>
      <c r="M15" s="16" t="s">
        <v>72</v>
      </c>
      <c r="N15" s="16" t="s">
        <v>73</v>
      </c>
    </row>
    <row r="16" spans="1:14" ht="89.25" customHeight="1">
      <c r="A16" t="e" vm="15">
        <v>#VALUE!</v>
      </c>
      <c r="B16" s="14" t="s">
        <v>74</v>
      </c>
      <c r="C16" s="12" t="s">
        <v>41</v>
      </c>
      <c r="D16" s="12" t="s">
        <v>42</v>
      </c>
      <c r="E16" s="12"/>
      <c r="F16" s="12">
        <v>9</v>
      </c>
      <c r="G16" s="12">
        <v>1</v>
      </c>
      <c r="H16" s="12">
        <f>(F16-(F16*10%))</f>
        <v>8.1</v>
      </c>
      <c r="I16" s="17">
        <f>(H16+(H16*8.25%))*7.82</f>
        <v>68.567715000000007</v>
      </c>
      <c r="J16" s="17">
        <f>I16+23.22</f>
        <v>91.787715000000006</v>
      </c>
      <c r="K16" s="11">
        <f>(J16+(J16*50%))</f>
        <v>137.68157250000002</v>
      </c>
      <c r="L16" s="10">
        <f>K16*G16</f>
        <v>137.68157250000002</v>
      </c>
      <c r="M16" s="16" t="s">
        <v>75</v>
      </c>
      <c r="N16" s="16" t="s">
        <v>76</v>
      </c>
    </row>
    <row r="17" spans="1:14" ht="89.25" customHeight="1">
      <c r="A17" s="2" t="e" vm="16">
        <v>#VALUE!</v>
      </c>
      <c r="B17" s="12" t="s">
        <v>77</v>
      </c>
      <c r="C17" s="12" t="s">
        <v>78</v>
      </c>
      <c r="D17" s="12" t="s">
        <v>22</v>
      </c>
      <c r="E17" s="12" t="s">
        <v>79</v>
      </c>
      <c r="F17" s="12">
        <v>25</v>
      </c>
      <c r="G17" s="12">
        <v>1</v>
      </c>
      <c r="H17" s="12">
        <f>(F17-(F17*10%))</f>
        <v>22.5</v>
      </c>
      <c r="I17" s="17">
        <f>(H17+(H17*8.25%))*7.82</f>
        <v>190.46587500000001</v>
      </c>
      <c r="J17" s="17">
        <f>I17+23.22</f>
        <v>213.68587500000001</v>
      </c>
      <c r="K17" s="11">
        <f>(J17+(J17*50%))</f>
        <v>320.52881250000002</v>
      </c>
      <c r="L17" s="10">
        <f>K17*G17</f>
        <v>320.52881250000002</v>
      </c>
      <c r="M17" s="16" t="s">
        <v>80</v>
      </c>
      <c r="N17" s="16" t="s">
        <v>81</v>
      </c>
    </row>
    <row r="18" spans="1:14" ht="89.25" customHeight="1">
      <c r="A18" t="e" vm="17">
        <v>#VALUE!</v>
      </c>
      <c r="B18" s="12" t="s">
        <v>82</v>
      </c>
      <c r="C18" s="12" t="s">
        <v>83</v>
      </c>
      <c r="D18" s="12" t="s">
        <v>84</v>
      </c>
      <c r="E18" s="12" t="s">
        <v>85</v>
      </c>
      <c r="F18" s="12">
        <v>18.2</v>
      </c>
      <c r="G18" s="12">
        <v>1</v>
      </c>
      <c r="H18" s="12">
        <f>(F18-(F18*10%))</f>
        <v>16.38</v>
      </c>
      <c r="I18" s="17">
        <f>(H18+(H18*8.25%))*7.82</f>
        <v>138.65915699999999</v>
      </c>
      <c r="J18" s="17">
        <f>I18+23.22</f>
        <v>161.87915699999999</v>
      </c>
      <c r="K18" s="11">
        <f>(J18+(J18*50%))</f>
        <v>242.8187355</v>
      </c>
      <c r="L18" s="10">
        <f>K18*G18</f>
        <v>242.8187355</v>
      </c>
      <c r="M18" s="16" t="s">
        <v>86</v>
      </c>
      <c r="N18" s="16" t="s">
        <v>87</v>
      </c>
    </row>
    <row r="19" spans="1:14" ht="89.25" customHeight="1">
      <c r="A19" s="2" t="e" vm="18">
        <v>#VALUE!</v>
      </c>
      <c r="B19" s="12" t="s">
        <v>82</v>
      </c>
      <c r="C19" s="12" t="s">
        <v>83</v>
      </c>
      <c r="D19" s="12" t="s">
        <v>84</v>
      </c>
      <c r="E19" s="12" t="s">
        <v>88</v>
      </c>
      <c r="F19" s="12">
        <v>18.2</v>
      </c>
      <c r="G19" s="12">
        <v>1</v>
      </c>
      <c r="H19" s="12">
        <f>(F19-(F19*10%))</f>
        <v>16.38</v>
      </c>
      <c r="I19" s="17">
        <f>(H19+(H19*8.25%))*7.82</f>
        <v>138.65915699999999</v>
      </c>
      <c r="J19" s="17">
        <f>I19+23.22</f>
        <v>161.87915699999999</v>
      </c>
      <c r="K19" s="11">
        <f>(J19+(J19*50%))</f>
        <v>242.8187355</v>
      </c>
      <c r="L19" s="10">
        <f>K19*G19</f>
        <v>242.8187355</v>
      </c>
      <c r="M19" s="16" t="s">
        <v>89</v>
      </c>
      <c r="N19" s="16" t="s">
        <v>90</v>
      </c>
    </row>
    <row r="20" spans="1:14" ht="89.25" customHeight="1">
      <c r="A20" t="e" vm="19">
        <v>#VALUE!</v>
      </c>
      <c r="B20" s="12" t="s">
        <v>91</v>
      </c>
      <c r="C20" s="12" t="s">
        <v>36</v>
      </c>
      <c r="D20" s="12" t="s">
        <v>92</v>
      </c>
      <c r="E20" s="12" t="s">
        <v>93</v>
      </c>
      <c r="F20" s="12">
        <v>8</v>
      </c>
      <c r="G20" s="12">
        <v>1</v>
      </c>
      <c r="H20" s="12">
        <f>F20</f>
        <v>8</v>
      </c>
      <c r="I20" s="17">
        <f>(H20+(H20*8.25%))*7.82</f>
        <v>67.72120000000001</v>
      </c>
      <c r="J20" s="17">
        <f>I20+23.22</f>
        <v>90.941200000000009</v>
      </c>
      <c r="K20" s="11">
        <f>(J20+(J20*50%))</f>
        <v>136.41180000000003</v>
      </c>
      <c r="L20" s="10">
        <f>K20*G20</f>
        <v>136.41180000000003</v>
      </c>
      <c r="M20" s="16" t="s">
        <v>94</v>
      </c>
      <c r="N20" s="16" t="s">
        <v>95</v>
      </c>
    </row>
    <row r="21" spans="1:14" ht="89.25" customHeight="1">
      <c r="A21" t="e" vm="20">
        <v>#VALUE!</v>
      </c>
      <c r="B21" s="12" t="s">
        <v>91</v>
      </c>
      <c r="C21" s="12" t="s">
        <v>36</v>
      </c>
      <c r="D21" s="12" t="s">
        <v>92</v>
      </c>
      <c r="E21" s="12" t="s">
        <v>96</v>
      </c>
      <c r="F21" s="12">
        <v>8</v>
      </c>
      <c r="G21" s="12">
        <v>1</v>
      </c>
      <c r="H21" s="12">
        <f t="shared" ref="H21" si="0">F21</f>
        <v>8</v>
      </c>
      <c r="I21" s="17">
        <f>(H21+(H21*8.25%))*7.82</f>
        <v>67.72120000000001</v>
      </c>
      <c r="J21" s="17">
        <f>I21+23.22</f>
        <v>90.941200000000009</v>
      </c>
      <c r="K21" s="11">
        <f>(J21+(J21*50%))</f>
        <v>136.41180000000003</v>
      </c>
      <c r="L21" s="10">
        <f>K21*G21</f>
        <v>136.41180000000003</v>
      </c>
      <c r="M21" s="16" t="s">
        <v>97</v>
      </c>
      <c r="N21" s="16" t="s">
        <v>98</v>
      </c>
    </row>
    <row r="22" spans="1:14" ht="89.25" customHeight="1">
      <c r="A22" t="e" vm="21">
        <v>#VALUE!</v>
      </c>
      <c r="B22" s="12" t="s">
        <v>99</v>
      </c>
      <c r="C22" s="12" t="s">
        <v>21</v>
      </c>
      <c r="D22" s="12" t="s">
        <v>92</v>
      </c>
      <c r="E22" s="12" t="s">
        <v>100</v>
      </c>
      <c r="F22" s="12">
        <v>9</v>
      </c>
      <c r="G22" s="12">
        <v>1</v>
      </c>
      <c r="H22" s="12">
        <f t="shared" ref="H22" si="1">F22</f>
        <v>9</v>
      </c>
      <c r="I22" s="17">
        <f>(H22+(H22*8.25%))*7.82</f>
        <v>76.186350000000004</v>
      </c>
      <c r="J22" s="17">
        <f>I22+23.22</f>
        <v>99.406350000000003</v>
      </c>
      <c r="K22" s="11">
        <f>(J22+(J22*50%))</f>
        <v>149.10952500000002</v>
      </c>
      <c r="L22" s="10">
        <f>K22*G22</f>
        <v>149.10952500000002</v>
      </c>
      <c r="M22" s="16" t="s">
        <v>101</v>
      </c>
      <c r="N22" s="16" t="s">
        <v>102</v>
      </c>
    </row>
    <row r="23" spans="1:14" ht="89.25" customHeight="1">
      <c r="A23" t="e" vm="22">
        <v>#VALUE!</v>
      </c>
      <c r="B23" s="12" t="s">
        <v>99</v>
      </c>
      <c r="C23" s="12" t="s">
        <v>21</v>
      </c>
      <c r="D23" s="12" t="s">
        <v>92</v>
      </c>
      <c r="E23" s="12" t="s">
        <v>103</v>
      </c>
      <c r="F23" s="12">
        <v>9</v>
      </c>
      <c r="G23" s="12">
        <v>1</v>
      </c>
      <c r="H23" s="12">
        <f t="shared" ref="H23" si="2">F23</f>
        <v>9</v>
      </c>
      <c r="I23" s="17">
        <f>(H23+(H23*8.25%))*7.82</f>
        <v>76.186350000000004</v>
      </c>
      <c r="J23" s="17">
        <f>I23+23.22</f>
        <v>99.406350000000003</v>
      </c>
      <c r="K23" s="11">
        <f>(J23+(J23*50%))</f>
        <v>149.10952500000002</v>
      </c>
      <c r="L23" s="10">
        <f>K23*G23</f>
        <v>149.10952500000002</v>
      </c>
      <c r="M23" s="16" t="s">
        <v>104</v>
      </c>
      <c r="N23" s="16" t="s">
        <v>105</v>
      </c>
    </row>
    <row r="24" spans="1:14" ht="89.25" customHeight="1">
      <c r="A24" t="e" vm="23">
        <v>#VALUE!</v>
      </c>
      <c r="B24" s="12" t="s">
        <v>106</v>
      </c>
      <c r="C24" s="12" t="s">
        <v>15</v>
      </c>
      <c r="D24" s="12" t="s">
        <v>92</v>
      </c>
      <c r="E24" s="12" t="s">
        <v>107</v>
      </c>
      <c r="F24" s="12">
        <v>10</v>
      </c>
      <c r="G24" s="12">
        <v>1</v>
      </c>
      <c r="H24" s="12">
        <f t="shared" ref="H24" si="3">F24</f>
        <v>10</v>
      </c>
      <c r="I24" s="17">
        <f>(H24+(H24*8.25%))*7.82</f>
        <v>84.651499999999999</v>
      </c>
      <c r="J24" s="17">
        <f>I24+23.22</f>
        <v>107.8715</v>
      </c>
      <c r="K24" s="11">
        <f>(J24+(J24*50%))</f>
        <v>161.80725000000001</v>
      </c>
      <c r="L24" s="10">
        <f>K24*G24</f>
        <v>161.80725000000001</v>
      </c>
      <c r="M24" s="16" t="s">
        <v>108</v>
      </c>
      <c r="N24" s="16" t="s">
        <v>109</v>
      </c>
    </row>
    <row r="25" spans="1:14" ht="89.25" customHeight="1">
      <c r="A25" t="e" vm="24">
        <v>#VALUE!</v>
      </c>
      <c r="B25" s="12" t="s">
        <v>106</v>
      </c>
      <c r="C25" s="12" t="s">
        <v>15</v>
      </c>
      <c r="D25" s="12" t="s">
        <v>92</v>
      </c>
      <c r="E25" s="12" t="s">
        <v>110</v>
      </c>
      <c r="F25" s="12">
        <v>10</v>
      </c>
      <c r="G25" s="12">
        <v>1</v>
      </c>
      <c r="H25" s="12">
        <f t="shared" ref="H25" si="4">F25</f>
        <v>10</v>
      </c>
      <c r="I25" s="17">
        <f>(H25+(H25*8.25%))*7.82</f>
        <v>84.651499999999999</v>
      </c>
      <c r="J25" s="17">
        <f>I25+23.22</f>
        <v>107.8715</v>
      </c>
      <c r="K25" s="11">
        <f>(J25+(J25*50%))</f>
        <v>161.80725000000001</v>
      </c>
      <c r="L25" s="10">
        <f>K25*G25</f>
        <v>161.80725000000001</v>
      </c>
      <c r="M25" s="16" t="s">
        <v>111</v>
      </c>
      <c r="N25" s="16" t="s">
        <v>112</v>
      </c>
    </row>
    <row r="26" spans="1:14" ht="89.25" customHeight="1">
      <c r="A26" t="e" vm="25">
        <v>#VALUE!</v>
      </c>
      <c r="B26" s="12" t="s">
        <v>113</v>
      </c>
      <c r="C26" s="12" t="s">
        <v>83</v>
      </c>
      <c r="D26" s="12" t="s">
        <v>92</v>
      </c>
      <c r="E26" s="12" t="s">
        <v>114</v>
      </c>
      <c r="F26" s="12">
        <v>8</v>
      </c>
      <c r="G26" s="12">
        <v>1</v>
      </c>
      <c r="H26" s="12">
        <f t="shared" ref="H26" si="5">F26</f>
        <v>8</v>
      </c>
      <c r="I26" s="17">
        <f>(H26+(H26*8.25%))*7.82</f>
        <v>67.72120000000001</v>
      </c>
      <c r="J26" s="17">
        <f>I26+23.22</f>
        <v>90.941200000000009</v>
      </c>
      <c r="K26" s="11">
        <f>(J26+(J26*50%))</f>
        <v>136.41180000000003</v>
      </c>
      <c r="L26" s="10">
        <f>K26*G26</f>
        <v>136.41180000000003</v>
      </c>
      <c r="M26" s="16" t="s">
        <v>115</v>
      </c>
      <c r="N26" s="16" t="s">
        <v>116</v>
      </c>
    </row>
    <row r="27" spans="1:14" ht="89.25" customHeight="1">
      <c r="A27" t="e" vm="26">
        <v>#VALUE!</v>
      </c>
      <c r="B27" s="12" t="s">
        <v>117</v>
      </c>
      <c r="C27" s="12" t="s">
        <v>41</v>
      </c>
      <c r="D27" s="12" t="s">
        <v>118</v>
      </c>
      <c r="E27" s="12"/>
      <c r="F27" s="12">
        <v>9.99</v>
      </c>
      <c r="G27" s="12">
        <v>1</v>
      </c>
      <c r="H27" s="12">
        <f t="shared" ref="H27" si="6">F27</f>
        <v>9.99</v>
      </c>
      <c r="I27" s="17">
        <f>(H27+(H27*8.25%))*7.82</f>
        <v>84.566848500000006</v>
      </c>
      <c r="J27" s="17">
        <f>I27+23.22</f>
        <v>107.7868485</v>
      </c>
      <c r="K27" s="11">
        <f>(J27+(J27*50%))</f>
        <v>161.68027275</v>
      </c>
      <c r="L27" s="10">
        <f>K27*G27</f>
        <v>161.68027275</v>
      </c>
      <c r="M27" s="16" t="s">
        <v>119</v>
      </c>
      <c r="N27" s="16" t="s">
        <v>120</v>
      </c>
    </row>
    <row r="28" spans="1:14" ht="89.25" customHeight="1">
      <c r="A28" t="e" vm="27">
        <v>#VALUE!</v>
      </c>
      <c r="B28" s="13" t="s">
        <v>121</v>
      </c>
      <c r="C28" s="12" t="s">
        <v>41</v>
      </c>
      <c r="D28" s="12" t="s">
        <v>118</v>
      </c>
      <c r="E28" s="12"/>
      <c r="F28" s="12">
        <v>15.99</v>
      </c>
      <c r="G28" s="12">
        <v>1</v>
      </c>
      <c r="H28" s="12">
        <f t="shared" ref="H28" si="7">F28</f>
        <v>15.99</v>
      </c>
      <c r="I28" s="17">
        <f>(H28+(H28*8.25%))*7.82</f>
        <v>135.35774850000001</v>
      </c>
      <c r="J28" s="17">
        <f>I28+23.22</f>
        <v>158.57774850000001</v>
      </c>
      <c r="K28" s="11">
        <f>(J28+(J28*50%))</f>
        <v>237.86662275000003</v>
      </c>
      <c r="L28" s="10">
        <f>K28*G28</f>
        <v>237.86662275000003</v>
      </c>
      <c r="M28" s="16" t="s">
        <v>122</v>
      </c>
      <c r="N28" s="16" t="s">
        <v>123</v>
      </c>
    </row>
    <row r="29" spans="1:14" ht="89.25" customHeight="1">
      <c r="A29" s="7" t="e" vm="28">
        <v>#VALUE!</v>
      </c>
      <c r="B29" s="12" t="s">
        <v>124</v>
      </c>
      <c r="C29" s="12" t="s">
        <v>125</v>
      </c>
      <c r="D29" s="12" t="s">
        <v>92</v>
      </c>
      <c r="E29" s="12" t="s">
        <v>126</v>
      </c>
      <c r="F29" s="12">
        <v>4</v>
      </c>
      <c r="G29" s="12">
        <v>1</v>
      </c>
      <c r="H29" s="12">
        <f t="shared" ref="H29" si="8">F29</f>
        <v>4</v>
      </c>
      <c r="I29" s="17">
        <f>(H29+(H29*8.25%))*7.82</f>
        <v>33.860600000000005</v>
      </c>
      <c r="J29" s="17">
        <f>I29+23.22</f>
        <v>57.080600000000004</v>
      </c>
      <c r="K29" s="11">
        <f>(J29+(J29*50%))</f>
        <v>85.620900000000006</v>
      </c>
      <c r="L29" s="10">
        <f>K29*G29</f>
        <v>85.620900000000006</v>
      </c>
      <c r="M29" s="16" t="s">
        <v>127</v>
      </c>
      <c r="N29" s="16" t="s">
        <v>128</v>
      </c>
    </row>
    <row r="30" spans="1:14" ht="89.25" customHeight="1">
      <c r="A30" t="e" vm="29">
        <v>#VALUE!</v>
      </c>
      <c r="B30" s="12" t="s">
        <v>124</v>
      </c>
      <c r="C30" s="12" t="s">
        <v>125</v>
      </c>
      <c r="D30" s="12" t="s">
        <v>92</v>
      </c>
      <c r="E30" s="12" t="s">
        <v>129</v>
      </c>
      <c r="F30" s="12">
        <v>4</v>
      </c>
      <c r="G30" s="12">
        <v>1</v>
      </c>
      <c r="H30" s="12">
        <f t="shared" ref="H30" si="9">F30</f>
        <v>4</v>
      </c>
      <c r="I30" s="17">
        <f>(H30+(H30*8.25%))*7.82</f>
        <v>33.860600000000005</v>
      </c>
      <c r="J30" s="17">
        <f>I30+23.22</f>
        <v>57.080600000000004</v>
      </c>
      <c r="K30" s="11">
        <f>(J30+(J30*50%))</f>
        <v>85.620900000000006</v>
      </c>
      <c r="L30" s="10">
        <f>K30*G30</f>
        <v>85.620900000000006</v>
      </c>
      <c r="M30" s="16" t="s">
        <v>130</v>
      </c>
      <c r="N30" s="16" t="s">
        <v>131</v>
      </c>
    </row>
    <row r="31" spans="1:14" ht="89.25" customHeight="1">
      <c r="A31" t="e" vm="30">
        <v>#VALUE!</v>
      </c>
      <c r="B31" s="12" t="s">
        <v>132</v>
      </c>
      <c r="C31" s="12" t="s">
        <v>21</v>
      </c>
      <c r="D31" s="12" t="s">
        <v>133</v>
      </c>
      <c r="E31" s="12" t="s">
        <v>134</v>
      </c>
      <c r="F31" s="12">
        <v>11.99</v>
      </c>
      <c r="G31" s="12">
        <v>1</v>
      </c>
      <c r="H31" s="12">
        <f t="shared" ref="H31" si="10">F31</f>
        <v>11.99</v>
      </c>
      <c r="I31" s="17">
        <f>(H31+(H31*8.25%))*7.82</f>
        <v>101.49714849999999</v>
      </c>
      <c r="J31" s="17">
        <f>I31+23.22</f>
        <v>124.71714849999999</v>
      </c>
      <c r="K31" s="11">
        <f>(J31+(J31*50%))</f>
        <v>187.07572274999998</v>
      </c>
      <c r="L31" s="10">
        <f>K31*G31</f>
        <v>187.07572274999998</v>
      </c>
      <c r="M31" s="16" t="s">
        <v>135</v>
      </c>
      <c r="N31" s="16" t="s">
        <v>136</v>
      </c>
    </row>
    <row r="32" spans="1:14">
      <c r="H32" s="6"/>
      <c r="I32"/>
    </row>
    <row r="33" spans="2:9">
      <c r="H33" s="6"/>
      <c r="I33"/>
    </row>
    <row r="34" spans="2:9">
      <c r="H34" s="6"/>
      <c r="I34"/>
    </row>
    <row r="35" spans="2:9" ht="15.75">
      <c r="B35" s="7"/>
      <c r="H35" s="6"/>
      <c r="I35"/>
    </row>
    <row r="36" spans="2:9">
      <c r="H36" s="6"/>
      <c r="I36"/>
    </row>
    <row r="37" spans="2:9">
      <c r="H37" s="6"/>
      <c r="I37"/>
    </row>
    <row r="38" spans="2:9">
      <c r="H38" s="6"/>
      <c r="I38"/>
    </row>
    <row r="39" spans="2:9">
      <c r="H39" s="6"/>
      <c r="I39"/>
    </row>
    <row r="40" spans="2:9">
      <c r="H40" s="6"/>
      <c r="I40"/>
    </row>
    <row r="41" spans="2:9">
      <c r="H41" s="6"/>
      <c r="I41"/>
    </row>
    <row r="42" spans="2:9">
      <c r="H42" s="6"/>
      <c r="I42"/>
    </row>
  </sheetData>
  <autoFilter ref="B1:N31" xr:uid="{AB543543-938B-4090-B3C6-7B550DE2C8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Giron Valenzuela, Heizel Aneliz</dc:creator>
  <cp:keywords/>
  <dc:description/>
  <cp:lastModifiedBy>Usuario invitado</cp:lastModifiedBy>
  <cp:revision/>
  <dcterms:created xsi:type="dcterms:W3CDTF">2026-04-27T21:26:38Z</dcterms:created>
  <dcterms:modified xsi:type="dcterms:W3CDTF">2026-08-26T02:16:20Z</dcterms:modified>
  <cp:category/>
  <cp:contentStatus/>
</cp:coreProperties>
</file>